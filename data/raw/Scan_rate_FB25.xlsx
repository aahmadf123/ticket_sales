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ocketsutoledo-my.sharepoint.com/personal/hdavids2_rockets_utoledo_edu/Documents/Desktop/FB/"/>
    </mc:Choice>
  </mc:AlternateContent>
  <xr:revisionPtr revIDLastSave="99" documentId="8_{59F28477-9519-4992-B25C-BAD4126BB4A8}" xr6:coauthVersionLast="47" xr6:coauthVersionMax="47" xr10:uidLastSave="{08E2943E-FD9D-4D7D-A353-AB31515BF83C}"/>
  <bookViews>
    <workbookView xWindow="-120" yWindow="-120" windowWidth="29040" windowHeight="15720" xr2:uid="{EB559EB3-4267-40E6-9D41-DEE455D6E6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E16" i="1"/>
  <c r="D16" i="1"/>
  <c r="G15" i="1"/>
  <c r="H15" i="1"/>
  <c r="G14" i="1"/>
  <c r="H14" i="1"/>
  <c r="H13" i="1"/>
  <c r="G13" i="1"/>
  <c r="H12" i="1"/>
  <c r="G12" i="1"/>
  <c r="H11" i="1"/>
  <c r="G11" i="1"/>
  <c r="H10" i="1"/>
  <c r="G10" i="1"/>
  <c r="E6" i="1"/>
  <c r="F6" i="1"/>
  <c r="D6" i="1"/>
  <c r="G4" i="1"/>
  <c r="H4" i="1"/>
  <c r="G5" i="1"/>
  <c r="H5" i="1"/>
  <c r="G3" i="1"/>
  <c r="H3" i="1"/>
  <c r="H2" i="1"/>
  <c r="G2" i="1"/>
  <c r="G6" i="1" l="1"/>
  <c r="H6" i="1"/>
  <c r="H16" i="1"/>
  <c r="G16" i="1"/>
</calcChain>
</file>

<file path=xl/sharedStrings.xml><?xml version="1.0" encoding="utf-8"?>
<sst xmlns="http://schemas.openxmlformats.org/spreadsheetml/2006/main" count="39" uniqueCount="21">
  <si>
    <t>Game</t>
  </si>
  <si>
    <t>Total Tickets</t>
  </si>
  <si>
    <t>Total Scans</t>
  </si>
  <si>
    <t>Total Scan Rate</t>
  </si>
  <si>
    <t>Western Kentucky</t>
  </si>
  <si>
    <t>Morgan State</t>
  </si>
  <si>
    <t>Scans by Kickoff</t>
  </si>
  <si>
    <t>Pre-Kickoff Scan Rate</t>
  </si>
  <si>
    <t>Akron</t>
  </si>
  <si>
    <t>Kent State</t>
  </si>
  <si>
    <t>Total</t>
  </si>
  <si>
    <t>Date</t>
  </si>
  <si>
    <t>Duquesne</t>
  </si>
  <si>
    <t>Umass</t>
  </si>
  <si>
    <t>Miami</t>
  </si>
  <si>
    <t>Bowling Green</t>
  </si>
  <si>
    <t>Central Michigan</t>
  </si>
  <si>
    <t>Ohio</t>
  </si>
  <si>
    <t>Season</t>
  </si>
  <si>
    <t>25-26</t>
  </si>
  <si>
    <t>24-25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</si>
</sst>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10" fontId="0" fillId="0" borderId="4" xfId="1" applyNumberFormat="1" applyFont="1" applyBorder="1"/>
    <xf numFmtId="10" fontId="0" fillId="0" borderId="5" xfId="1" applyNumberFormat="1" applyFont="1" applyBorder="1"/>
    <xf numFmtId="10" fontId="2" fillId="2" borderId="6" xfId="1" applyNumberFormat="1" applyFont="1" applyFill="1" applyBorder="1"/>
    <xf numFmtId="10" fontId="2" fillId="2" borderId="8" xfId="1" applyNumberFormat="1" applyFont="1" applyFill="1" applyBorder="1"/>
    <xf numFmtId="0" fontId="0" fillId="0" borderId="5" xfId="0" applyBorder="1"/>
    <xf numFmtId="0" fontId="2" fillId="2" borderId="7" xfId="0" applyFont="1" applyFill="1" applyBorder="1"/>
    <xf numFmtId="0" fontId="2" fillId="2" borderId="8" xfId="0" applyFont="1" applyFill="1" applyBorder="1"/>
    <xf numFmtId="0" fontId="0" fillId="0" borderId="0" xfId="0" applyBorder="1"/>
    <xf numFmtId="14" fontId="0" fillId="0" borderId="4" xfId="0" applyNumberFormat="1" applyBorder="1"/>
    <xf numFmtId="0" fontId="3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" borderId="6" xfId="0" applyFont="1" applyFill="1" applyBorder="1" applyAlignment="1">
      <alignment horizontal="right"/>
    </xf>
    <xf numFmtId="0" fontId="0" fillId="0" borderId="0" xfId="0" applyFill="1" applyBorder="1"/>
    <xf numFmtId="0" fontId="2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6" xfId="0" applyBorder="1"/>
    <xf numFmtId="0" fontId="0" fillId="0" borderId="8" xfId="0" applyBorder="1"/>
    <xf numFmtId="0" fontId="0" fillId="0" borderId="11" xfId="0" applyBorder="1"/>
    <xf numFmtId="0" fontId="3" fillId="0" borderId="6" xfId="0" applyFont="1" applyBorder="1" applyAlignment="1">
      <alignment horizontal="center"/>
    </xf>
    <xf numFmtId="0" fontId="3" fillId="0" borderId="11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FAFA-738B-4A3A-A604-85169E89FF77}">
  <dimension ref="A1:H1048576"/>
  <sheetViews>
    <sheetView tabSelected="1" workbookViewId="0">
      <selection activeCell="G23" sqref="G23"/>
    </sheetView>
  </sheetViews>
  <sheetFormatPr defaultRowHeight="15" x14ac:dyDescent="0.25"/>
  <cols>
    <col min="1" max="1" width="18.5703125" bestFit="1" customWidth="1"/>
    <col min="2" max="2" width="7.5703125" bestFit="1" customWidth="1"/>
    <col min="3" max="3" width="16.5703125" customWidth="1"/>
    <col min="4" max="4" width="12" bestFit="1" customWidth="1"/>
    <col min="5" max="5" width="11.140625" bestFit="1" customWidth="1"/>
    <col min="6" max="6" width="15.28515625" bestFit="1" customWidth="1"/>
    <col min="7" max="7" width="14.5703125" bestFit="1" customWidth="1"/>
    <col min="8" max="8" width="19.85546875" bestFit="1" customWidth="1"/>
  </cols>
  <sheetData>
    <row r="1" spans="1:8" x14ac:dyDescent="0.25">
      <c r="A1" s="11" t="s">
        <v>0</v>
      </c>
      <c r="B1" s="16" t="s">
        <v>18</v>
      </c>
      <c r="C1" s="11" t="s">
        <v>11</v>
      </c>
      <c r="D1" s="12" t="s">
        <v>1</v>
      </c>
      <c r="E1" s="12" t="s">
        <v>2</v>
      </c>
      <c r="F1" s="13" t="s">
        <v>6</v>
      </c>
      <c r="G1" s="11" t="s">
        <v>3</v>
      </c>
      <c r="H1" s="13" t="s">
        <v>7</v>
      </c>
    </row>
    <row r="2" spans="1:8" x14ac:dyDescent="0.25">
      <c r="A2" s="10" t="s">
        <v>4</v>
      </c>
      <c r="B2" s="17" t="s">
        <v>19</v>
      </c>
      <c r="C2" s="9">
        <v>45906</v>
      </c>
      <c r="D2" s="8">
        <v>15748</v>
      </c>
      <c r="E2" s="8">
        <v>11142</v>
      </c>
      <c r="F2" s="5">
        <v>6988</v>
      </c>
      <c r="G2" s="1">
        <f>E2/D2</f>
        <v>0.70751841503683011</v>
      </c>
      <c r="H2" s="2">
        <f>F2/D2</f>
        <v>0.44373888747777496</v>
      </c>
    </row>
    <row r="3" spans="1:8" x14ac:dyDescent="0.25">
      <c r="A3" s="10" t="s">
        <v>5</v>
      </c>
      <c r="B3" s="17" t="s">
        <v>19</v>
      </c>
      <c r="C3" s="9">
        <v>45913</v>
      </c>
      <c r="D3" s="8">
        <v>13676</v>
      </c>
      <c r="E3" s="8">
        <v>8149</v>
      </c>
      <c r="F3" s="5">
        <v>5147</v>
      </c>
      <c r="G3" s="1">
        <f>E3/D3</f>
        <v>0.59586136297162917</v>
      </c>
      <c r="H3" s="2">
        <f>F3/D3</f>
        <v>0.37635273471775371</v>
      </c>
    </row>
    <row r="4" spans="1:8" x14ac:dyDescent="0.25">
      <c r="A4" s="10" t="s">
        <v>8</v>
      </c>
      <c r="B4" s="17" t="s">
        <v>19</v>
      </c>
      <c r="C4" s="9">
        <v>45927</v>
      </c>
      <c r="D4" s="8">
        <v>15328</v>
      </c>
      <c r="E4" s="8">
        <v>10123</v>
      </c>
      <c r="F4" s="5">
        <v>6043</v>
      </c>
      <c r="G4" s="1">
        <f>E4/D4</f>
        <v>0.66042536534446761</v>
      </c>
      <c r="H4" s="2">
        <f>F4/D4</f>
        <v>0.39424582463465552</v>
      </c>
    </row>
    <row r="5" spans="1:8" ht="15.75" thickBot="1" x14ac:dyDescent="0.3">
      <c r="A5" s="21" t="s">
        <v>9</v>
      </c>
      <c r="B5" s="22" t="s">
        <v>19</v>
      </c>
      <c r="C5" s="9">
        <v>45948</v>
      </c>
      <c r="D5" s="8">
        <v>11963</v>
      </c>
      <c r="E5" s="8">
        <v>6303</v>
      </c>
      <c r="F5" s="5">
        <v>3968</v>
      </c>
      <c r="G5" s="1">
        <f>E5/D5</f>
        <v>0.52687452980021732</v>
      </c>
      <c r="H5" s="2">
        <f>F5/D5</f>
        <v>0.33168937557468864</v>
      </c>
    </row>
    <row r="6" spans="1:8" ht="15.75" thickBot="1" x14ac:dyDescent="0.3">
      <c r="A6" s="18"/>
      <c r="B6" s="20"/>
      <c r="C6" s="14" t="s">
        <v>10</v>
      </c>
      <c r="D6" s="6">
        <f>SUM(D2:D5)</f>
        <v>56715</v>
      </c>
      <c r="E6" s="6">
        <f t="shared" ref="E6:F6" si="0">SUM(E2:E5)</f>
        <v>35717</v>
      </c>
      <c r="F6" s="7">
        <f t="shared" si="0"/>
        <v>22146</v>
      </c>
      <c r="G6" s="3">
        <f>E6/D6</f>
        <v>0.62976284933439131</v>
      </c>
      <c r="H6" s="4">
        <f>F6/D6</f>
        <v>0.39047870933615447</v>
      </c>
    </row>
    <row r="8" spans="1:8" ht="15.75" thickBot="1" x14ac:dyDescent="0.3"/>
    <row r="9" spans="1:8" x14ac:dyDescent="0.25">
      <c r="A9" s="11" t="s">
        <v>0</v>
      </c>
      <c r="B9" s="16" t="s">
        <v>18</v>
      </c>
      <c r="C9" s="11" t="s">
        <v>11</v>
      </c>
      <c r="D9" s="12" t="s">
        <v>1</v>
      </c>
      <c r="E9" s="12" t="s">
        <v>2</v>
      </c>
      <c r="F9" s="13" t="s">
        <v>6</v>
      </c>
      <c r="G9" s="11" t="s">
        <v>3</v>
      </c>
      <c r="H9" s="13" t="s">
        <v>7</v>
      </c>
    </row>
    <row r="10" spans="1:8" x14ac:dyDescent="0.25">
      <c r="A10" s="10" t="s">
        <v>12</v>
      </c>
      <c r="B10" s="17" t="s">
        <v>20</v>
      </c>
      <c r="C10" s="9">
        <v>45533</v>
      </c>
      <c r="D10" s="8">
        <v>16919</v>
      </c>
      <c r="E10" s="8">
        <v>8350</v>
      </c>
      <c r="F10" s="5">
        <v>5450</v>
      </c>
      <c r="G10" s="1">
        <f>E10/D10</f>
        <v>0.49352798628760564</v>
      </c>
      <c r="H10" s="2">
        <f>F10/D10</f>
        <v>0.3221230569182576</v>
      </c>
    </row>
    <row r="11" spans="1:8" x14ac:dyDescent="0.25">
      <c r="A11" s="10" t="s">
        <v>13</v>
      </c>
      <c r="B11" s="17" t="s">
        <v>20</v>
      </c>
      <c r="C11" s="9">
        <v>45542</v>
      </c>
      <c r="D11" s="8">
        <v>16134</v>
      </c>
      <c r="E11" s="8">
        <v>10533</v>
      </c>
      <c r="F11" s="5">
        <v>6515</v>
      </c>
      <c r="G11" s="1">
        <f>E11/D11</f>
        <v>0.6528449237634808</v>
      </c>
      <c r="H11" s="2">
        <f>F11/D11</f>
        <v>0.40380562786661706</v>
      </c>
    </row>
    <row r="12" spans="1:8" x14ac:dyDescent="0.25">
      <c r="A12" s="10" t="s">
        <v>14</v>
      </c>
      <c r="B12" s="17" t="s">
        <v>20</v>
      </c>
      <c r="C12" s="9">
        <v>45570</v>
      </c>
      <c r="D12" s="8">
        <v>17896</v>
      </c>
      <c r="E12" s="8">
        <v>11722</v>
      </c>
      <c r="F12" s="5">
        <v>7197</v>
      </c>
      <c r="G12" s="1">
        <f>E12/D12</f>
        <v>0.65500670540902994</v>
      </c>
      <c r="H12" s="2">
        <f>F12/D12</f>
        <v>0.40215690657130088</v>
      </c>
    </row>
    <row r="13" spans="1:8" x14ac:dyDescent="0.25">
      <c r="A13" s="10" t="s">
        <v>15</v>
      </c>
      <c r="B13" s="17" t="s">
        <v>20</v>
      </c>
      <c r="C13" s="9">
        <v>45591</v>
      </c>
      <c r="D13" s="15">
        <v>24787</v>
      </c>
      <c r="E13" s="15">
        <v>18644</v>
      </c>
      <c r="F13" s="5">
        <v>10424</v>
      </c>
      <c r="G13" s="1">
        <f>E13/D13</f>
        <v>0.75216847541049747</v>
      </c>
      <c r="H13" s="2">
        <f>F13/D13</f>
        <v>0.4205430265865171</v>
      </c>
    </row>
    <row r="14" spans="1:8" x14ac:dyDescent="0.25">
      <c r="A14" s="10" t="s">
        <v>16</v>
      </c>
      <c r="B14" s="17" t="s">
        <v>20</v>
      </c>
      <c r="C14" s="9">
        <v>45608</v>
      </c>
      <c r="D14" s="15">
        <v>10849</v>
      </c>
      <c r="E14" s="15">
        <v>3954</v>
      </c>
      <c r="F14" s="5">
        <v>2640</v>
      </c>
      <c r="G14" s="1">
        <f>E14/D14</f>
        <v>0.3644575536915845</v>
      </c>
      <c r="H14" s="2">
        <f>F14/D14</f>
        <v>0.24334040003686977</v>
      </c>
    </row>
    <row r="15" spans="1:8" ht="15.75" thickBot="1" x14ac:dyDescent="0.3">
      <c r="A15" s="21" t="s">
        <v>17</v>
      </c>
      <c r="B15" s="22" t="s">
        <v>20</v>
      </c>
      <c r="C15" s="9">
        <v>45616</v>
      </c>
      <c r="D15" s="15">
        <v>11181</v>
      </c>
      <c r="E15" s="15">
        <v>3785</v>
      </c>
      <c r="F15" s="5">
        <v>2450</v>
      </c>
      <c r="G15" s="1">
        <f>E15/D15</f>
        <v>0.33852070476701546</v>
      </c>
      <c r="H15" s="2">
        <f>F15/D15</f>
        <v>0.2191217243538145</v>
      </c>
    </row>
    <row r="16" spans="1:8" ht="15.75" thickBot="1" x14ac:dyDescent="0.3">
      <c r="A16" s="18"/>
      <c r="B16" s="19"/>
      <c r="C16" s="14" t="s">
        <v>10</v>
      </c>
      <c r="D16" s="6">
        <f>SUM(D10:D15)</f>
        <v>97766</v>
      </c>
      <c r="E16" s="6">
        <f>SUM(E10:E15)</f>
        <v>56988</v>
      </c>
      <c r="F16" s="7">
        <f>SUM(F10:F15)</f>
        <v>34676</v>
      </c>
      <c r="G16" s="3">
        <f>E16/D16</f>
        <v>0.58290203138105268</v>
      </c>
      <c r="H16" s="4">
        <f>F16/D16</f>
        <v>0.35468363234662359</v>
      </c>
    </row>
    <row r="1048576" spans="2:2" x14ac:dyDescent="0.25">
      <c r="B1048576" s="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University of Toledo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Davidson, Henry Methner</dc:creator>
  <cp:lastModifiedBy>Davidson, Henry Methner</cp:lastModifiedBy>
  <dcterms:created xsi:type="dcterms:W3CDTF">2025-11-05T14:43:35Z</dcterms:created>
  <dcterms:modified xsi:type="dcterms:W3CDTF">2025-11-05T18:07:52Z</dcterms:modified>
</cp:coreProperties>
</file>